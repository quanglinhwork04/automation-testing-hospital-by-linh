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cnpm\"/>
    </mc:Choice>
  </mc:AlternateContent>
  <xr:revisionPtr revIDLastSave="0" documentId="13_ncr:1_{22967C17-BF04-4E1A-93FB-A203988D251B}" xr6:coauthVersionLast="47" xr6:coauthVersionMax="47" xr10:uidLastSave="{00000000-0000-0000-0000-000000000000}"/>
  <bookViews>
    <workbookView xWindow="-108" yWindow="-108" windowWidth="23256" windowHeight="12576" xr2:uid="{00000000-000D-0000-FFFF-FFFF00000000}"/>
  </bookViews>
  <sheets>
    <sheet name="1. Login &amp; Logout"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3" l="1"/>
  <c r="D3" i="3"/>
  <c r="B3" i="3"/>
  <c r="A3" i="3"/>
</calcChain>
</file>

<file path=xl/sharedStrings.xml><?xml version="1.0" encoding="utf-8"?>
<sst xmlns="http://schemas.openxmlformats.org/spreadsheetml/2006/main" count="457" uniqueCount="300">
  <si>
    <t>Pass</t>
  </si>
  <si>
    <t>Fail</t>
  </si>
  <si>
    <t>N/A ( Không xác định )</t>
  </si>
  <si>
    <t>Number of Test case ( Số lượng Test case )</t>
  </si>
  <si>
    <t>Test Requirement ID</t>
  </si>
  <si>
    <t>Test case ID</t>
  </si>
  <si>
    <t xml:space="preserve">Test case Description ( Mô tả trường hợp ) </t>
  </si>
  <si>
    <t>Test case Steps</t>
  </si>
  <si>
    <t>Test Data</t>
  </si>
  <si>
    <t>Expect Output ( Kết quả mong muốn )</t>
  </si>
  <si>
    <t xml:space="preserve">Actual Result ( Kết quả thực tế ) </t>
  </si>
  <si>
    <t xml:space="preserve">Result </t>
  </si>
  <si>
    <t>Pre_Condition</t>
  </si>
  <si>
    <t>Test TIM_KIEM</t>
  </si>
  <si>
    <t>SEARCH_01</t>
  </si>
  <si>
    <t>Kiểm tra hiển thị tất cả bác sĩ khi 
không có tham số tìm kiếm.</t>
  </si>
  <si>
    <t>Tất cả chuyên khoa:
Tìm kiếm bác sỹ, bệnh viện:</t>
  </si>
  <si>
    <t>Kĩ thuật kiểm thử</t>
  </si>
  <si>
    <t>Phân vùng tương đương, Bảng quyết định</t>
  </si>
  <si>
    <t>SEARCH_02</t>
  </si>
  <si>
    <t>Kiểm tra tìm kiếm bác sĩ với từ khóa hợp lệ.</t>
  </si>
  <si>
    <t>Kiểm tra tìm kiếm bác sĩ với chuyên khoa hợp lệ.</t>
  </si>
  <si>
    <t>Tất cả chuyên khoa: Nội khoa
Tìm kiếm bác sỹ, bệnh viện:</t>
  </si>
  <si>
    <t>SEARCH_03</t>
  </si>
  <si>
    <t>SEARCH_04</t>
  </si>
  <si>
    <t>SEARCH_05</t>
  </si>
  <si>
    <t>SEARCH_06</t>
  </si>
  <si>
    <t>SEARCH_07</t>
  </si>
  <si>
    <t>Tất cả chuyên khoa:
Tìm kiếm bác sỹ, bệnh viện: abcdefghijabcdefghijabcdefghijabcdefghijabcdefghijx</t>
  </si>
  <si>
    <t>Hiển thị thông báo lỗi: "Từ khóa tìm kiếm quá dài (tối đa 50 ký tự)"</t>
  </si>
  <si>
    <t>Hiển thị thông báo lỗi: "Từ khóa chứa ký tự không hợp lệ (ví dụ: &lt;, &gt;, ;, ')"</t>
  </si>
  <si>
    <t>Đoán lỗi, Bảng quyết định</t>
  </si>
  <si>
    <t>Tất cả chuyên khoa:
Tìm kiếm bác sỹ, bệnh viện: Nama</t>
  </si>
  <si>
    <t>Hiển thị thông báo lỗi: "Không tìm thấy bác sĩ phù hợp với tiêu chí!"</t>
  </si>
  <si>
    <t>SEARCH_08</t>
  </si>
  <si>
    <t>Kiểm tra phân trang hiển thị khi danh sách bác sĩ dài &gt;1 trang</t>
  </si>
  <si>
    <t xml:space="preserve">	Phân trang hiển thị đúng, có thể chuyển qua lại giữa các trang</t>
  </si>
  <si>
    <t>SEARCH_09</t>
  </si>
  <si>
    <t xml:space="preserve">	Kiểm tra nút "Trước" bị vô hiệu hóa ở trang đầu</t>
  </si>
  <si>
    <t>Trang đầu (page = 1)</t>
  </si>
  <si>
    <t>Nút "Trước" bị vô hiệu hóa khi đang ở trang 1</t>
  </si>
  <si>
    <t>SEARCH_10</t>
  </si>
  <si>
    <t>Nút "Tiếp" bị vô hiệu hóa khi đang ở trang cuối</t>
  </si>
  <si>
    <t>Trang cuối</t>
  </si>
  <si>
    <t>1. Truy cập vào trang chủ 
2. Nhấn chọn "Bác Sỹ "
3. Kiểm tra nút "Tiếp" và danh sách trang
4. Chụp ảnh kết quả sau khi test</t>
  </si>
  <si>
    <t>Tất cả chuyên khoa:
Tìm kiếm bác sỹ, bệnh viện: Nam</t>
  </si>
  <si>
    <t xml:space="preserve">	Kiểm tra nút "Tiếp" bị vô hiệu hóa ở trang cuối</t>
  </si>
  <si>
    <t>SEARCH_11</t>
  </si>
  <si>
    <t xml:space="preserve">Kiểm tra tìm kiếm lỗi khi nhập mã JavaScript độc hại </t>
  </si>
  <si>
    <t>1. Truy cập vào trang chủ
2. Nhấn chọn "Bác Sỹ "
3. Nhập từ khóa tìm kiếm là &lt;script&gt;alert('XSS')&lt;/script&gt; ở ô Tìm kiếm bác sỹ, bệnh viện
4. Nhấn nút " Tìm Bác Sỹ "
5. Kiểm tra thông báo lỗi và trạng thái danh sách bác sĩ
6. Chụp ảnh kết quả sau khi test</t>
  </si>
  <si>
    <t>1. Truy cập vào trang chủ
2. Nhấn chọn "Bác Sỹ "
3. Nhập từ khóa tìm kiếm là từ khóa không tồn tại ở ô Tìm kiếm bác sỹ, bệnh viện
4. Nhấn nút " Tìm Bác Sỹ "
5. Kiểm tra thông báo lỗi và trạng thái danh sách bác sĩ
6. Chụp ảnh kết quả sau khi test</t>
  </si>
  <si>
    <t>1. Truy cập vào trang chủ
2. Nhấn chọn "Bác Sỹ "
3. Nhập từ khóa tìm kiếm là kí tự đặc biệt (&lt;, &gt;, ;, ') ở ô Tìm kiếm bác sỹ, bệnh viện
4. Nhấn nút " Tìm Bác Sỹ "
5. Kiểm tra thông báo lỗi và trạng thái danh sách bác sĩ
6. Chụp ảnh kết quả sau khi test</t>
  </si>
  <si>
    <t>1. Truy cập vào trang chủ 
2. Nhấn chọn "Bác Sỹ "
3. Nhập từ khóa tìm kiếm gồm 51 kí tự ở ô Tìm kiếm bác sỹ, bệnh viện
4. Nhấn nút " Tìm Bác Sỹ "
5. Kiểm tra thông báo lỗi và trạng thái danh sách bác sĩ
6. Chụp ảnh kết quả sau khi test</t>
  </si>
  <si>
    <t>1. Truy cập vào trang chủ 
2. Nhấn chọn "Bác Sỹ "
3. Chọn chuyên khoa "Nội khoa" ở ô Tất cả chuyên khoa
4. Nhấn nút " Tìm Bác Sỹ "
5. Kiểm tra danh sách bác sỹ
6. Chụp ảnh kết quả sau khi test</t>
  </si>
  <si>
    <t>1. Truy cập vào trang chủ 
2. Nhấn chọn "Bác Sỹ "
3. Nhập từ khóa tìm kiếm "Nam" ở ô Tìm kiếm bác sỹ, bệnh viện
4. Nhấn nút " Tìm Bác Sỹ "
5. Kiểm tra danh sách bác sỹ
6. Chụp ảnh kết quả sau khi test</t>
  </si>
  <si>
    <t>1. Truy cập vào trang chủ 
2. Nhấn chọn "Bác Sỹ "
3. Kiểm tra danh sách bác sỹ
4. Chụp ảnh kết quả sau khi test</t>
  </si>
  <si>
    <t>Tất cả chuyên khoa:
Tìm kiếm bác sỹ, bệnh viện:  &lt;script&gt;alert('XSS')&lt;/script&gt;</t>
  </si>
  <si>
    <t>Hiển thị thông báo lỗi: "Lỗi: Từ khóa chứa ký tự không hợp lệ (ví dụ: &lt;, &gt;, ;, ')".</t>
  </si>
  <si>
    <t>Phân tích giá trị biên</t>
  </si>
  <si>
    <t>Đoán lỗi</t>
  </si>
  <si>
    <t>SEARCH_12</t>
  </si>
  <si>
    <t>Kiểm tra tìm kiếm lỗi chặn SQL injection</t>
  </si>
  <si>
    <t>Tất cả chuyên khoa:
Tìm kiếm bác sỹ, bệnh viện:  Nguyen';DROP TABLE bac_sy;--</t>
  </si>
  <si>
    <t>SEARCH_13</t>
  </si>
  <si>
    <t>1. Truy cập vào trang chủ
2. Nhấn chọn "Bác Sỹ "
3. Nhập từ khóa tìm kiếm là "Nguyen';DROP TABLE bac_sy;--" ở ô Tìm kiếm bác sỹ, bệnh viện
4. Nhấn nút " Tìm Bác Sỹ "
5. Kiểm tra thông báo lỗi và trạng thái danh sách bác sĩ
6. Chụp ảnh kết quả sau khi test</t>
  </si>
  <si>
    <t>Phân vùng tương đương,
Bảng quyết định</t>
  </si>
  <si>
    <t>SEARCH_14</t>
  </si>
  <si>
    <t>Kiểm tra tìm kiếm với từ khóa tương tự kết quả</t>
  </si>
  <si>
    <t>1. Truy cập vào trang chủ
2. Nhấn chọn "Bác Sỹ "
3. Nhập từ khóa tìm kiếm là "Nguyen" ô Tìm kiếm bác sỹ, bệnh viện
4. Nhấn nút " Tìm Bác Sỹ "
5. Kiểm tra thông báo lỗi và trạng thái danh sách bác sĩ
6. Chụp ảnh kết quả sau khi test</t>
  </si>
  <si>
    <t>Tất cả chuyên khoa:
Tìm kiếm bác sỹ, bệnh viện:  Nguyen</t>
  </si>
  <si>
    <t>Kiểm tra tìm kiếm với từ khóa từ khóa chữ hoa,
chữ thường</t>
  </si>
  <si>
    <t>1. Truy cập vào trang chủ
2. Nhấn chọn "Bác Sỹ "
3. Nhập từ khóa tìm kiếm là "NGuYen" ô Tìm kiếm bác sỹ, bệnh viện
4. Nhấn nút " Tìm Bác Sỹ "
5. Kiểm tra thông báo lỗi và trạng thái danh sách bác sĩ
6. Chụp ảnh kết quả sau khi test</t>
  </si>
  <si>
    <t>Tất cả chuyên khoa:
Tìm kiếm bác sỹ, bệnh viện:  NGuYen</t>
  </si>
  <si>
    <t>1. Truy cập vào trang chủ 
2. Nhấn nút "Bác Sỹ "
3. Kiểm tra trạng thái nút "Trước" có vô hiệu hóa ở trag đầu không
4. Chụp ảnh kết quả sau khi test</t>
  </si>
  <si>
    <t>1. Truy cập vào trang chủ và click chọn Bác sỹ
2. Nhấn nút "Bác Sỹ "
3. Kiểm tra trạng thái nút "Tiếp" có vô hiệu hóa ở trang cuối không
4. Chụp ảnh kết quả sau khi test</t>
  </si>
  <si>
    <t>Ứng dụng chạy và database chứa bác sĩ có
 tên "Nam"</t>
  </si>
  <si>
    <t>Ứng dụng chạy và database chứa bác sĩ 
thuộc "Nội khoa"</t>
  </si>
  <si>
    <t>Ứng dụng chạy và backend giới hạn từ khóa
 tối đa 50 ký tự.</t>
  </si>
  <si>
    <t>Ứng dụng chạy và database không chứa bác 
sĩ tên "Nama".</t>
  </si>
  <si>
    <t>Ứng dụng chạy và database chứa đủ bác 
sĩ để tạo nhiều trang.</t>
  </si>
  <si>
    <t>Ứng dụng chạy và danh sách bác
 sĩ có phân trang.</t>
  </si>
  <si>
    <t>Ứng dụng chạy và backend chặn mã
 JavaScript độc hại</t>
  </si>
  <si>
    <t>Ứng dụng chạy và backend chặn câu
 lệnh SQL độc hại.</t>
  </si>
  <si>
    <t>Ứng dụng chạy và backend hỗ trợ tìm kiếm 
không dấu</t>
  </si>
  <si>
    <t>Ứng dụng chạy và backend hỗ trợ tìm kiếm
 case-insensitive.</t>
  </si>
  <si>
    <t>BOOKING_01</t>
  </si>
  <si>
    <t>Kiểm tra đặt lịch khám bệnh với thông tin hợp lệ</t>
  </si>
  <si>
    <t>Ứng dụng chạy, database chứa ít nhất 1 chuyên khoa, 1 bác sĩ, và khung giờ khám không trùng. Người dùng đã đăng nhập với vai trò BENH_NHAN.</t>
  </si>
  <si>
    <t>1. Truy cập trang chủ nhấn "Đặt Lịch"
2. Chọn chuyên khoa
3. Chọn bác sĩ
4. Giá tiền tự động lấy theo bác sĩ
5. Nhập ngày khám trong tương lai
6. Chọn  giờ khám
7. Nhập mô tả triệu chứng
8. Nhấn nút "Đặt ngay"
9. Kiểm tra thông báo
10. Chụp ảnh kết quả sau khi test</t>
  </si>
  <si>
    <t xml:space="preserve">Hiển thị: "Đặt lịch thành công"	</t>
  </si>
  <si>
    <t>BOOKING_02</t>
  </si>
  <si>
    <t>Kiểm tra đặt lịch khi chưa chọn chuyên khoa</t>
  </si>
  <si>
    <t>Hiển thị: "Vui lòng chọn chuyên khoa"</t>
  </si>
  <si>
    <t xml:space="preserve">	Phân tích giá trị biên, Bảng quyết định</t>
  </si>
  <si>
    <t>Chuyên khoa: 
Bác sĩ:
Giá tiền khám: 
Ngày khám: 2025-06-20
Khung giờ: 10h
Mô tả: Đau bụng nhẹ, sốt nhẹ</t>
  </si>
  <si>
    <t>BOOKING_03</t>
  </si>
  <si>
    <t>Kiểm tra đặt lịch khi chưa chọn bác sỹ</t>
  </si>
  <si>
    <t>Hiển thị: "Vui lòng chọn bác sỹ"</t>
  </si>
  <si>
    <t>1. Truy cập trang chủ nhấn "Đặt Lịch"
2. Chọn chuyên khoa: Nội khoa
3. Để trống bác sĩ, giá tiền khám
4. Nhập ngày khám trong tương lai
5. Chọn giờ khám
6. Nhập mô tả triệu chứng
7. Nhấn nút "Đặt ngay"
8. Kiểm tra modal thông báo
9. Chụp ảnh kết quả sau khi test</t>
  </si>
  <si>
    <t>1. Truy cập trang chủ nhấn "Đặt Lịch"
2. Để trống chuyên khoa
3. Để trống bác sỹ, giá tiền khám
4. Nhập ngày khám trong tương lai
5. Chọn khung giờ
6. Nhập mô tả triệu chứng
7. Nhấn nút "Đặt ngay"
8. Kiểm tra modal thông báo
9. Chụp ảnh kết quả sau khi test</t>
  </si>
  <si>
    <t>BOOKING_04</t>
  </si>
  <si>
    <t>Kiểm tra đặt lịch khi giờ khám đã được đặt</t>
  </si>
  <si>
    <t>Đoán lỗi, Bảng quyết
 định</t>
  </si>
  <si>
    <t>BOOKING_05</t>
  </si>
  <si>
    <t>Kiểm tra đặt lịch khi ngày khám trong quá khứ</t>
  </si>
  <si>
    <t>Chuyên khoa: Nội khoa
Bác sĩ: Phạm Văn Nam
Giá tiền khám: 350.000 VND
Ngày khám: 2025-05-21
Khung giờ: 10h
Mô tả: Đau lưng, sốt nhẹ</t>
  </si>
  <si>
    <t>BOOKING_06</t>
  </si>
  <si>
    <t>Kiểm tra đặt lịch khi chưa đăng nhập</t>
  </si>
  <si>
    <t>Ứng dụng chạy, người dùng chưa đăng nhập.</t>
  </si>
  <si>
    <t>1. Truy cập trang chủ nhấn "Đặt Lịch"
2. Kiểm tra chuyển hướng và thông báo
3. Chụp ảnh kết quả sau khi test</t>
  </si>
  <si>
    <t>BOOKING_07</t>
  </si>
  <si>
    <t>1. Truy cập trang chủ nhấn "Đặt Lịch"
2. Chọn chuyên khoa
3. Chọn bác sĩ
4. Kiểm tra giá tiền khám
5. Nhập ngày khám: 2025-06-22
6. Chọn giờ khám: 10h
7. Nhập mô tả triệu chứng 256 ký tự
8. Nhấn nút "Đặt ngay"
9. Kiểm tra modal thông báo
10. Chụp ảnh kết quả sau khi test</t>
  </si>
  <si>
    <t>BOOKING_08</t>
  </si>
  <si>
    <t xml:space="preserve">Kiểm tra đặt lịch với mô tả triệu chứng quá dài </t>
  </si>
  <si>
    <t xml:space="preserve">Kiểm tra đặt lịch với mô tả triệu chứng quá ngắn </t>
  </si>
  <si>
    <t>1. Truy cập trang chủ nhấn "Đặt Lịch"
2. Chọn chuyên khoa
3. Chọn bác sĩ
4. Kiểm tra giá tiền khám
5. Nhập ngày khám: 2025-06-22
6. Chọn giờ khám: 10h
7. Nhập mô tả triệu chứng 1 ký tự
8. Nhấn nút "Đặt ngay"
9. Kiểm tra modal thông báo
10. Chụp ảnh kết quả sau khi test</t>
  </si>
  <si>
    <t>Chuyên khoa: Nội khoa
Bác sĩ: Phạm Văn Nam
Giá tiền khám: 350.000 VND
Ngày khám: 2025-06-22
Khung giờ: 10h
Mô tả: Đau bụnggggggggggggggggggggggggggggggggggggggggggggggggggggggggggggggggggggggggggggggggggggggggggggggggggggggggggggggggggggggggggggggggggggggggggggggggggggggggggggggggggggggggggggggggggggggggggggggggggggggggggggggggggggggggggggggggggggggggggggggggggggggggg</t>
  </si>
  <si>
    <t>BOOKING_09</t>
  </si>
  <si>
    <t>Ứng dụng chạy, database chứa ít nhất 2 bác sĩ 
thuộc chuyên khoa Nội khoa.</t>
  </si>
  <si>
    <t>1. Truy cập trang chủ nhấn "Đặt Lịch"
2. Chọn chuyên khoa: Nội khoa
3. Kiểm tra danh sách bác sĩ trong dropdown
4. Chụp ảnh kết quả sau khi test</t>
  </si>
  <si>
    <t>Chuyên khoa: Nội khoa</t>
  </si>
  <si>
    <t>BOOKING_10</t>
  </si>
  <si>
    <t>Kiểm tra hiển thị giá tiền khám khi chọn bác sĩ</t>
  </si>
  <si>
    <t>Ứng dụng chạy, database chứa bác sĩ Phạm
Văn Nam với giá khám 350.000 VND</t>
  </si>
  <si>
    <t>1. Truy cập trang chủ nhấn "Đặt Lịch"
2. Chọn chuyên khoa: Nội khoa
3. Chọn bác sĩ: Phạm Văn Nam
4. Kiểm tra ô "Giá tiền khám"
5. Chụp ảnh kết quả sau khi test</t>
  </si>
  <si>
    <t>Chuyên khoa: Nội khoa
Bác sĩ: Phạm Văn Nam</t>
  </si>
  <si>
    <t>Ô "Giá tiền khám" hiển thị: "350.000 ₫"</t>
  </si>
  <si>
    <t>BOOKING_11</t>
  </si>
  <si>
    <t>1. Truy cập trang chủ nhấn "Đặt Lịch"
2. Chọn chuyên khoa: Nội khoa
3. Chọn bác sĩ: Phạm Văn Nam
4. Kiểm tra giá tiền khám
5. Nhập ngày khám: 2025-06-22
6. Để trống khung giờ (chọn "Chọn giờ khám")
7. Nhập mô tả triệu chứng: Đau bụng nhẹ
8. Nhấn nút "Đặt ngay"
9. Kiểm tra modal thông báo
10. Chụp ảnh kết quả sau khi test</t>
  </si>
  <si>
    <t>Hiển thị: "Vui lòng chọn giờ khám hợp lệ"</t>
  </si>
  <si>
    <t>Phân tích giá trị biên,
 Bảng quyết định</t>
  </si>
  <si>
    <t>BOOKING_12</t>
  </si>
  <si>
    <t>Kiểm tra đặt lịch khi không nhập ngày khám</t>
  </si>
  <si>
    <t>1. Truy cập trang chủ nhấn "Đặt Lịch"
2. Chọn chuyên khoa: Nội khoa
3. Chọn bác sĩ: Phạm Văn Nam
4. Kiểm tra giá tiền khám
5. Để trống ngày khám
6. Chọn giờ khám: 10h
7. Nhập mô tả triệu chứng: Đau bụng nhẹ
8. Nhấn nút "Đặt ngay"
9. Kiểm tra modal thông báo
10. Chụp ảnh kết quả sau khi test</t>
  </si>
  <si>
    <t>Chuyên khoa: Nội khoa
Bác sĩ: Phạm Văn Nam
Giá tiền khám: 350.000 VND
Ngày khám: 
Khung giờ: 10h
Mô tả: Đau bụng nhẹ</t>
  </si>
  <si>
    <t>Hiển thị: "Vui lòng chọn ngày khám"</t>
  </si>
  <si>
    <t>BOOKING_13</t>
  </si>
  <si>
    <t>1. Truy cập trang chủ nhấn "Đặt Lịch"
2. Chọn chuyên khoa: Nội khoa
3. Chọn bác sĩ: Phạm Văn Nam
4. Kiểm tra giá tiền khám
5. Nhập ngày khám: 2025-06-22
6. Chọn giờ khám: 10h
7. Nhập mô tả triệu chứng: "Đau bụng &lt;script&gt;"
8. Nhấn nút "Đặt ngay"
9. Kiểm tra modal thông báo
10. Chụp ảnh kết quả sau khi test</t>
  </si>
  <si>
    <t>Chuyên khoa: Nội khoa
Bác sĩ: Phạm Văn Nam
Giá tiền khám: 350.000 VND
Ngày khám: 2025-06-22
Khung giờ: 10h
Mô tả: Đau bụng &lt;script&gt;</t>
  </si>
  <si>
    <t>Phân tích giá trị biên, 
Bảng quyết định</t>
  </si>
  <si>
    <t>Test BOOKING</t>
  </si>
  <si>
    <t>CONFIRM_01</t>
  </si>
  <si>
    <t>1. Đăng nhập với vai trò bác sĩ.
2. Nhấn nút Quản lí lịch khám bệnh
3. Chọn Xem lịch khám và Chọn Xem
4. Nhấn "Xác nhận và gửi mail".
5. Kiểm tra thông báo và trạng thái lịch hẹn.
6. Kiểm tra email được gửi.
7. Chụp ảnh kết quả sau khi test</t>
  </si>
  <si>
    <t>Hiển thị: "Xác nhận và gửi email thành công!"
Email gửi đến adodareview@gmail.com với chi tiết lịch khám.</t>
  </si>
  <si>
    <t>CANCEL_01</t>
  </si>
  <si>
    <t>1. Đăng nhập với vai trò bác sĩ.
2. Nhấn nút Quản lí lịch khám bệnh
3. Chọn Xem lịch khám và Chọn Xem
4. Nhấn "Hủy lịch khám".
5. Kiểm tra thông báo và trạng thái lịch hẹn.
6. Chụp ảnh kết quả sau khi test</t>
  </si>
  <si>
    <t>CANCEL_02</t>
  </si>
  <si>
    <t>PRESCRIPT_01</t>
  </si>
  <si>
    <t>PRESCRIPT_02</t>
  </si>
  <si>
    <t>Kiểm tra gửi toa thuốc với chuẩn đoán trống</t>
  </si>
  <si>
    <t>1. Đăng nhập với vai trò bác sĩ.
2. Nhấn nút Quản lí lịch khám bệnh
3. Chọn Xem lịch khám và Chọn Xem
4. Nhấn "Gửi toa thuốc".
5. Để trống chuẩn đoán.
6. Chọn thuốc: Paracetamol, đơn vị: Viên, số lượng: 10, hướng dẫn: Uống 1 viên/ngày.
7. Nhấn "Gửi Toa Thuốc".
8. Kiểm tra SweetAlert2.
9. Chụp ảnh kết quả.</t>
  </si>
  <si>
    <t>Phân tích giá trị biên, Bảng quyết định</t>
  </si>
  <si>
    <t>PRESCRIPT_03</t>
  </si>
  <si>
    <t>PRESCRIPT_04</t>
  </si>
  <si>
    <t>PRESCRIPT_05</t>
  </si>
  <si>
    <t>PRESCRIPT_06</t>
  </si>
  <si>
    <t>Kiểm tra nhập hướng dẫn sử dụng vượt giới hạn</t>
  </si>
  <si>
    <t>CANCEL_03</t>
  </si>
  <si>
    <t>PRESCRIPT_07</t>
  </si>
  <si>
    <t xml:space="preserve"> Phân tích giá trị
 biên</t>
  </si>
  <si>
    <t>Phân tích giá trị
 biên, Bảng quyết định</t>
  </si>
  <si>
    <t xml:space="preserve"> Phân tích giá
 trị biên</t>
  </si>
  <si>
    <t>Phân tích giá trị 
biên</t>
  </si>
  <si>
    <t>Ứng dụng chạy và database
 chứa dữ liệu bác sĩ.</t>
  </si>
  <si>
    <t>Hiển thị danh sách tất cả bác sỹ</t>
  </si>
  <si>
    <t>Hiển thị danh sách tất cả bác sỹ tên Nam ở tất cả các chuyên khoa</t>
  </si>
  <si>
    <t>Hiển thị danh sách tất cả bác sỹ ở Nội khoa</t>
  </si>
  <si>
    <t xml:space="preserve"> Kiểm tra tìm kiếm với từ khóa và chuyên khoa
 hợp lệ</t>
  </si>
  <si>
    <t>Kiểm tra tìm kiếm lỗi khi từ khóa quá dài</t>
  </si>
  <si>
    <t>Kiểm tra tìm kiếm lỗi khi từ khóa chứa ký tự 
đặc biệt</t>
  </si>
  <si>
    <t>Ứng dụng chạy và backend chặn ký tự
 đặc biệt</t>
  </si>
  <si>
    <t>Tất cả chuyên khoa:
Tìm kiếm bác sỹ, bệnh viện: Nam&gt;</t>
  </si>
  <si>
    <t>Kiểm tra tìm kiếm lỗi khi từ khóa bác sỹ hoặc bệnh viện không tồn tại</t>
  </si>
  <si>
    <t>Hiển thị danh sách bác sĩ có tên bác sỹ,
 tên bệnh viên chứa 'Nguyen'</t>
  </si>
  <si>
    <t>Hiển thị danh sách bác sĩ có tên bác sỹ,
tênh bệnh viện chứa 'NGuYen'</t>
  </si>
  <si>
    <t>Ứng dụng chạy, người dùng đã đăng nhập với vai trò BENH_NHAN.</t>
  </si>
  <si>
    <t>Ứng dụng chạy, database có lịch khám cho bác sĩ  Phạm Văn Nam vào 2025-06-10, 10h. Người dùng  đã đăng nhập với vai trò BENH_NHAN.</t>
  </si>
  <si>
    <t>Hiển thị: "Giờ khám này đã được đặt. 
Vui lòng chọn giờ khác."</t>
  </si>
  <si>
    <t>Ứng dụng chạy, người dùng đã đăng nhập 
với vai trò BENH_NHAN.</t>
  </si>
  <si>
    <t>Hiển thị: "Không thể đặt lịch cho ngày trong quá khứ"</t>
  </si>
  <si>
    <t>Chuyển hướng đến trang đăng nhập, hiển
 thị: "Vui lòng đăng nhập để đặt lịch"</t>
  </si>
  <si>
    <t>Hiển thị: "Mô tả triệu chứng không được vượt quá 100 ký tự"</t>
  </si>
  <si>
    <t>Kiểm tra hiển thị danh sách bác sĩ theo
 chuyên khoa</t>
  </si>
  <si>
    <t xml:space="preserve">Dropdown bác sĩ hiển thị tất cả bác sĩ thuộc Nội khoa </t>
  </si>
  <si>
    <t>Kiểm tra đặt lịch khi không chọn khung
 giờ khám</t>
  </si>
  <si>
    <t>Chuyên khoa: Nội khoa
Bác sĩ: Phạm Văn Nam
Giá tiền khám: 350.000 VND
Ngày khám: 2025-06-22
Khung giờ: 
Mô tả: Đau bụng nhẹ</t>
  </si>
  <si>
    <t>Kiểm tra đặt lịch với mô tả triệu chứng chứa ký tự đặc biệt nguy hiểm</t>
  </si>
  <si>
    <t>Ứng dụng chạy, người dùng đã đăng nhập với vai trò BENH_NHAN, backend cấm ký tự &lt;, &gt;, {, }.</t>
  </si>
  <si>
    <t>Hiển thị: "Mô tả triệu chứng không được chứa ký tự đặc biệt như &lt;, &gt;, {, }"</t>
  </si>
  <si>
    <t>Kiểm tra xác nhận lịch hẹn thành công với 
email hợp lệ</t>
  </si>
  <si>
    <t>Ứng dụng chạy, người dùng đăng nhập với vai trò BAC_SY,  email bệnh nhân hợp lệ</t>
  </si>
  <si>
    <t>Kiểm tra hủy lịch hẹn thành công với lý do
 hợp lệ</t>
  </si>
  <si>
    <t>Ứng dụng chạy, người dùng đăng nhập với vai trò BAC_SY</t>
  </si>
  <si>
    <t>Hủy lịch hẹn thành công!'Email gửi đến
 adodareview@gmail.com với nội dung và lí do hủy.</t>
  </si>
  <si>
    <t xml:space="preserve"> 'Vui lòng nhập lý do hủy!'</t>
  </si>
  <si>
    <t>Kiểm tra hủy lịch hẹn thất bại khi không nhập
 lí do quá dài</t>
  </si>
  <si>
    <t>Lỗi Lí do hủy không được vượt quá 100 kí
 tự</t>
  </si>
  <si>
    <t>Kiểm tra gửi toa thuốc thành công với dữ liệu
hợp lệ</t>
  </si>
  <si>
    <t>Ứng dụng chạy, người dùng đăng nhập với vai trò BAC_SY, danh sách thuốc hợp lệ.</t>
  </si>
  <si>
    <t>1. Đăng nhập với vai trò bác sĩ.
2. Nhấn nút Quản lí lịch khám bệnh
3. Chọn Xem lịch khám và Chọn Xem
4. Nhấn "Gửi toa thuốc".
5. Nhập chuẩn đoán: "Viêm họng cấp".
6. Chọn thuốc: Paracetamol, đơn vị: Viên, số lượng: 10, hướng dẫn: Uống 1 viên/ngày.
7. Nhấn "Gửi Toa Thuốc".
8. Kiểm tra thông báo và email.
9. Chụp ảnh kết quả.</t>
  </si>
  <si>
    <t>Chuẩn đoán: 
Thuốc: Paracetamol
Đơn vị tính: Viên
Số lượng: 10
Hướng dẫn sử dụng: Uống 1 viên/ngày</t>
  </si>
  <si>
    <t>1. Đăng nhập với vai trò bác sĩ.
2. Nhấn nút Quản lí lịch khám bệnh
3. Chọn Xem lịch khám và Chọn Xem
4. Nhấn "Gửi toa thuốc".
5. Nhập chuẩn đoán: "Viêm họng cấp".
6. Không chọn thuốc.
7. Nhấn "Gửi Toa Thuốc".
8. Kiểm tra  thông báo
9. Chụp ảnh kết quả.</t>
  </si>
  <si>
    <t>Kiểm tra gửi toa thuốc với danh sách thuốc
 trống</t>
  </si>
  <si>
    <t xml:space="preserve"> Hiển thị:  'Vui lòng nhập lý do hủy!'</t>
  </si>
  <si>
    <t>Hiển thị:  Lỗi Lí do hủy không được vượt quá 100 kí tự</t>
  </si>
  <si>
    <t>Hiển thị:  'Vui lòng nhập chuẩn đoán!'</t>
  </si>
  <si>
    <t>Hiển thị:  'Toa thuốc đã được gửi và lưu
thành công!'</t>
  </si>
  <si>
    <t xml:space="preserve"> Hiển thị:  'Vui lòng thêm ít nhất một
 thuốc hợp lệ!'</t>
  </si>
  <si>
    <t>Chuẩn đoán: Viêm họng cấp
Thuốc: Paracetamol
Đơn vị tính: Viên
Số lượng: 10
Hướng dẫn sử dụng: Uống 1 viên/ngày</t>
  </si>
  <si>
    <t>Kiểm tra gửi toa thuốc với số lượng thuốc
 không hợp lệ</t>
  </si>
  <si>
    <t>1. Đăng nhập với vai trò bác sĩ.
2. Nhấn nút Quản lí lịch khám bệnh
3. Chọn Xem lịch khám và Chọn Xem
4. Nhấn "Gửi toa thuốc".
5. Nhập chuẩn đoán: "Viêm họng cấp".
6. Chọn thuốc: Paracetamol, đơn vị: Viên, số lượng: 0, hướng dẫn: Uống 1 viên/ngày.
7. Nhấn "Gửi Toa Thuốc".
8. Kiểm tra thông báo và email.
9. Chụp ảnh kết quả.</t>
  </si>
  <si>
    <t xml:space="preserve">Chuẩn đoán: Viêm họng cấp
Thuốc: Paracetamol
Đơn vị tính: Viên
Số lượng: 1001
</t>
  </si>
  <si>
    <t>Hiển thị:  'Số lượng thuốc phải nhỏ hơn 
1000'</t>
  </si>
  <si>
    <t>Hiển thị:  'Hướng dẫn sử dụng không được vượt quá 255 ký tự!</t>
  </si>
  <si>
    <t>Kiểm tra hủy lịch hẹn thất bại khi không nhập
 lí do</t>
  </si>
  <si>
    <t>Chuẩn đoán: Viêm họng cấp
Thuốc: Paracetamol
Đơn vị tính: Viên
Số lượng: 30
Hướng dẫn sử dụng: Uống 1 viên/ngàyyyyyyyyyyyyyyyyyyyyyyyyyyyyyyyyyyyyyyyyyyyyyyyyyyyyyyyyyyyyyyyyyyyyyyyyyyyyyyyyyyyyyyyyyyyyyyyyyyyyyyyyyyyyyyyyyyyyyyyyyyyyyyyyyyyyyyyyyyyyyyyyyyyyyyyyyyyyyyyyyyyyyyyyyyyyyyyyyyyyyyyyyyyyyyyyyyyyyyyyyyyyyyyyyyyyyyyyyyyyyyyyyyyyyyyyyyyyyyyyy</t>
  </si>
  <si>
    <t>Ứng dụng chạy và database chứa bác sĩ tên 
"Tuấn" thuộc "Da liễu".</t>
  </si>
  <si>
    <t>Tất cả chuyên khoa: Da liễu
Tìm kiếm bác sỹ, bệnh viện: Tuấn</t>
  </si>
  <si>
    <t>1. Truy cập vào trang chủ 
2. Nhấn chọn "Bác Sỹ "
3. Chọn chuyên khoa "Da liễu" ở ô Tất cả chuyên khoa
4. Nhập từ khóa tìm kiếm "Tuấn" ở ô Tìm kiếm bác sỹ, bệnh viện
5. Nhấn nút " Tìm Bác Sỹ "
6. Kiểm tra danh sách bác sỹ
7. Chụp ảnh kết quả sau khi test</t>
  </si>
  <si>
    <t>Hiển thị danh sách bác sỹ ở Da liễu có tên Tuấn</t>
  </si>
  <si>
    <t>Phân vùng tương 
đương</t>
  </si>
  <si>
    <t>Chuyên khoa: Nội khoa
Bác sĩ: 
Giá tiền khám: 
Ngày khám: 2025-06-21
Khung giờ: 8h
Mô tả: Đau bụng nhẹ, sốt nhẹ</t>
  </si>
  <si>
    <t>Chuyên khoa: Nội khoa
Bác sĩ: Phạm Văn Nam
Giá tiền khám: 350.000 VND
Ngày khám: 2025-06-21
Khung giờ: 8h
Mô tả: Đau bụng nhẹ, sốt nhẹ</t>
  </si>
  <si>
    <t>Chuyên khoa: Nội khoa
Bác sĩ: Phạm Văn Nam
Giá tiền khám: 350.000 VND
Ngày khám: 2025-06-21
Khung giờ: 8h
Mô tả: Đau lưng, sốt nhẹ</t>
  </si>
  <si>
    <t>Chuyên khoa: Nội khoa
Bác sĩ: Phạm Văn Nam
Giá tiền khám: 350.000 VND
Ngày khám: 2025-06-22
Khung giờ: 10h
Mô tả: Đ</t>
  </si>
  <si>
    <t>ID lịch hẹn: 37
Trạng thái: CHO_XU_LY
Email: adodareview@gmail.com
Bác sĩ: Phạm Văn Nam
Ngày khám: 2025-06-21
Giờ: 8h</t>
  </si>
  <si>
    <t>ID lịch hẹn: 41
Trạng thái: CHO_XU_LY
Email: adodareview@gmail.com
Lý do hủy: Bác sĩ bận</t>
  </si>
  <si>
    <t>ID lịch hẹn: 42
Trạng thái: CHO_XU_LY
Email: adodareview@gmail.com
Lý do hủy:</t>
  </si>
  <si>
    <t>ID lịch hẹn: 42
Trạng thái: CHO_XU_LY
Email: test@example.com
Lý do  hủy:thhhhhhhhhhhhhhhhhhhhhhhhhhhhhhhhhhhhhhhhhhhhhhhhhhhhhhhhhhhhhhhhhhhhhhhhhhhhhhhhhhhhhhhhhhhhhhhhhhhhhhh</t>
  </si>
  <si>
    <t>Đoán lỗi, 
Bảng quyết định</t>
  </si>
  <si>
    <t>1. Truy cập trang chủ nhấn "Đặt Lịch"
2. Chọn chuyên khoa
3. Chọn bác sĩ
4. Giá tiền tự động lấy theo bác sĩ
5. Nhập ngày khám trong quá khứ
6. Chọn  giờ khám
7. Nhập mô tả triệu chứng
8. Nhấn nút "Đặt ngay"
9. Kiểm tra thông báo
10. Chụp ảnh kết quả sau khi test</t>
  </si>
  <si>
    <t>Ứng dụng chạy, người dùng đã đăng nhập với 
vai trò BENH_NHAN, backend giới hạn mô tả &gt; 100 ký tự</t>
  </si>
  <si>
    <t>Ứng dụng chạy, người dùng đã đăng nhập với 
vai trò BENH_NHAN, backend giới hạn mô tả &lt; 2 ký tự</t>
  </si>
  <si>
    <t>Phân vùng tương đương</t>
  </si>
  <si>
    <t>1. Đăng nhập với vai trò bác sĩ.
2. Nhấn nút Quản lí lịch khám bệnh
3. Chọn Xem lịch khám và Chọn Xem
4. Nhấn "Hủy lịch khám".
5. Để trống lý do hủy
6. Kiểm tra thông báo và trạng thái lịch hẹn.
7. Chụp ảnh kết quả sau khi test</t>
  </si>
  <si>
    <t>Kiểm thử chức năng, Phân vùng tương đương</t>
  </si>
  <si>
    <t>Chuẩn đoán: Viêm họng cấp
Thuốc: Paracetamol
Đơn vị tính: Viên
Số lượng: 
Hướng dẫn sử dụng: Uống 1 viên/ngày</t>
  </si>
  <si>
    <t>Chuẩn đoán: Viêm họng cấp
Thuốc:
Đơn vị tính: 
Số lượng: 10
Hướng dẫn sử dụng: Uống 1 viên/ngày</t>
  </si>
  <si>
    <t>Kiểm tra gửi toa thuốc với số lượng trống</t>
  </si>
  <si>
    <t>Kiểm tra gửi toa thuốc với hướng dẫn sử dụng trống</t>
  </si>
  <si>
    <t>1. Đăng nhập với vai trò bác sĩ.
2. Nhấn nút Quản lí lịch khám bệnh
3. Chọn Xem lịch khám và Chọn Xem
4. Nhấn "Gửi toa thuốc".
5. Nhập chuẩn đoán: "Viêm họng cấp".
6. Chọn thuốc,đơn vị, số lượng, hướng dẫn
7. Nhấn "Gửi Toa Thuốc".
8. Kiểm tra thông báo và email.
9. Chụp ảnh kết quả.</t>
  </si>
  <si>
    <t xml:space="preserve">Chuẩn đoán: Viêm họng cấp
Thuốc: Paracetamol
Đơn vị tính: Viên
Số lượng: 10
Hướng dẫn sử dụng: </t>
  </si>
  <si>
    <t>1. Đăng nhập với vai trò bác sĩ.
2. Nhấn nút Quản lí lịch khám bệnh
3. Chọn Xem lịch khám và Chọn Xem
4. Nhấn "Đã khám".
5. Kiểm tra thông báo và trạng thái lịch hẹn.
7. Chụp ảnh kết quả sau khi test</t>
  </si>
  <si>
    <t>Kiểm thử thông báo hiển thị khi nhấn nút "Đã khám"</t>
  </si>
  <si>
    <t>ID lịch hẹn: 37
Trạng thái: DA_XAC_NHAN
Email: adodareview@gmail.com
Bác sĩ: Phạm Văn Nam
Ngày khám: 2025-06-21
Giờ: 8h</t>
  </si>
  <si>
    <t xml:space="preserve">Hiển thị: "Đã cập nhật trạng thái lịch khám thành công!"
</t>
  </si>
  <si>
    <t>Test MANAGE
BOOKING</t>
  </si>
  <si>
    <t>BOOKING_14</t>
  </si>
  <si>
    <t>Kiểm tra đặt lịch với mô tả triệu chứng để trống</t>
  </si>
  <si>
    <t xml:space="preserve">Chuyên khoa: Nội khoa
Bác sĩ: Phạm Văn Nam
Giá tiền khám: 350.000 VND
Ngày khám: 2025-06-22
Khung giờ: 10h
Mô tả: </t>
  </si>
  <si>
    <t>Ứng dụng chạy, người dùng đã đăng nhập với vai trò BENH_NHAN</t>
  </si>
  <si>
    <t>1. Truy cập trang chủ nhấn "Đặt Lịch"
2. Chọn chuyên khoa: Nội khoa
3. Chọn bác sĩ: Phạm Văn Nam
4. Kiểm tra giá tiền khám
5. Nhập ngày khám: 2025-06-22
6. Chọn giờ khám: 10h
7. Nhấn nút "Đặt ngay"
8. Kiểm tra modal thông báo
9. Chụp ảnh kết quả sau khi test</t>
  </si>
  <si>
    <t>Hiển thị: "Mô tả triệu chứng có ít nhất 2 kí tự"</t>
  </si>
  <si>
    <t>Phân vùng tương đương,
 Bảng quyết định</t>
  </si>
  <si>
    <t>CONFIRM BOOKING</t>
  </si>
  <si>
    <t>Tất cả chuyên khoa:" "
Tìm kiếm bác sỹ, bệnh viện:</t>
  </si>
  <si>
    <t>Kiểm tra quyền truy xuất API tìm kiếm</t>
  </si>
  <si>
    <t>Ứng dụng chạy, API /api/search-doctors không yêu
 cầu đăng nhập, CSDL chứa thông tin</t>
  </si>
  <si>
    <t>1. Gửi yêu cầu GET /api/search-doctors?
specialty=Nội khoa&amp;keyword=Nam bằng
 Postman 
2. Chụp ảnh kết quả</t>
  </si>
  <si>
    <t>specialty=Nội khoa&amp;keyword=Nam</t>
  </si>
  <si>
    <t>Trả về danh sách bác sĩ công khai (tên
 chuyên khoa)</t>
  </si>
  <si>
    <t>Kiểm thử bảo mật</t>
  </si>
  <si>
    <t>Kiểm tra quyền truy xuất api đặt lịch khi không có token</t>
  </si>
  <si>
    <t xml:space="preserve">Ứng dụng chạy, API /api/booking/dat-lich yêu cầu 
đăng nhập với vai trò BENH_NHAN, CSDL chứa thông 
tin bác sĩ và bệnh nhân </t>
  </si>
  <si>
    <t>1. Truy cập API /api/booking/dat-lich bằng Postman mà không có token
2. Gửi yêu cầu POST
3. Kiểm tra phản hồi
4. Chụp ảnh kết quả</t>
  </si>
  <si>
    <t>Method: POST 
URL: http://localhost:8084/api/booking/
dat-lich - Body: { "chuyenKhoaId": 1, 
"bacSyId": 1, "ngayKham": "2025-06-19", 
"khungGioKham": 1,"moTaTrieuChung":
 "Đau đầu nhẹ" }</t>
  </si>
  <si>
    <t>Trả về JSON với mã 401 và { "error": "Vui lòng
 đăng nhập để đặt lịch" }</t>
  </si>
  <si>
    <t>Kiểm tra quyền truy xuất với token hợp lệ vai trò 
BENH_NHAN</t>
  </si>
  <si>
    <t>Trả về JSON với mã 200 và { "success": 
"Đặt lịch thành công" }</t>
  </si>
  <si>
    <t>SECURITY_05</t>
  </si>
  <si>
    <t>Kiểm tra quyền truy xuất khi không có token cho 
API xác nhận</t>
  </si>
  <si>
    <t xml:space="preserve"> Ứng dụng chạy, API /bacsy/xacNhan 
yêu cầu vai trò BAC_SY</t>
  </si>
  <si>
    <t>1. Truy cập API /bacsy/xacNhan bằng 
Postman mà không có token 
2. Gửi yêu cầu POST với id=37 
3. Kiểm tra phản hồi 
4. Chụp ảnh kết quả</t>
  </si>
  <si>
    <t>Trả về JSON với mã 403 và { "error": "Bạn 
không có quyền truy cập!" }</t>
  </si>
  <si>
    <t>SECURITY_04</t>
  </si>
  <si>
    <t>Kiểm tra quyền truy xuất khi có token hợp lệ cho 
API xác nhận</t>
  </si>
  <si>
    <t>Method: POST 
URL: http://localhost:8084/api/bacsy/xacNhan?id=37</t>
  </si>
  <si>
    <t>Method: POST 
URL: http://localhost:8084/api/bacsy/xacNhan?id=38</t>
  </si>
  <si>
    <t>Trả về JSON với mã 200 và { "message": 
"Xác nhận lịch khám thành công!" } hoặc { 
"message": "Email yêu cầu thanh toán đã 
được gửi!" }</t>
  </si>
  <si>
    <t>SECURITY_06</t>
  </si>
  <si>
    <t>SECURITY_07</t>
  </si>
  <si>
    <t>SECURITY_08</t>
  </si>
  <si>
    <t>SECURITY_09</t>
  </si>
  <si>
    <t>Kiểm tra quyền truy xuất khi không có token cho API
 hủy lịch</t>
  </si>
  <si>
    <t>Ứng dụng chạy, API /bacsy/huyLichKham yêu cầu 
vai trò BAC_SY, CSDL chứa lịch khám</t>
  </si>
  <si>
    <t>1. Truy cập API /bacsy/huyLichKham bằng 
Postman mà không có token 
2. Gửi yêu cầu POST với id=37&amp;lyDoHuy=
Thay đổi lịch 
3. Kiểm tra phản hồi 
4. Chụp ảnh kết quả</t>
  </si>
  <si>
    <t>Method: POST  
URL: http://localhost:8084/api/bacsy/huyLichKham?id=37&amp;lyDoHuy=Thay đổi lịch</t>
  </si>
  <si>
    <t>Trả về JSON với mã 403 và { "error": "Bạn không
có quyền truy cập!" }</t>
  </si>
  <si>
    <t>Kiểm tra quyền truy xuất khi  có token hợp lệ cho API
 hủy lịch</t>
  </si>
  <si>
    <t>Trả về JSON với mã 200 và { "message": "Hủy 
lịch khám thành công!" }</t>
  </si>
  <si>
    <t>Kiểm tra quyền truy xuất khi không có token cho API 
gửi toa thuốc</t>
  </si>
  <si>
    <t>Ứng dụng chạy, API /bacsy/guiToaThuoc yêu cầu vai trò BAC_SY</t>
  </si>
  <si>
    <t>1. Truy cập API /bacsy/guiToaThuoc bằng
 Postman 
2. Gửi yêu cầu POST với token không hợp lệ 
3. Kiểm tra phản hồi 
4. Chụp ảnh kết quả</t>
  </si>
  <si>
    <t>Method: POST 
URL: http://localhost:8084/bacsy/
guiToaThuoc - Body: { "lichKhamId": "37",
 "chanDoan": "Cảm lạnh", "thuocList":
 [{"thuocId": 1, "soLuong": 2, "donViTinh":
 "viên", "hdsd": "uống 1 lần/ngày"}] }</t>
  </si>
  <si>
    <t>Trả về JSON với mã 403 và { "error": "Bạn không
 có quyền truy cập!" }</t>
  </si>
  <si>
    <t>Trả về JSON với mã 200 và { "message": "Toa
 thuốc đã được gửi và lưu thành công!" }</t>
  </si>
  <si>
    <t>SECURITY_03</t>
  </si>
  <si>
    <t>SECURITY_02</t>
  </si>
  <si>
    <t>SECURITY_01</t>
  </si>
  <si>
    <t>Hiển thị danh sách tất cả bác sĩ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</si>
</sst>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theme="0"/>
      <name val="Calibri"/>
      <family val="2"/>
      <charset val="163"/>
      <scheme val="minor"/>
    </font>
    <font>
      <sz val="11"/>
      <color theme="1"/>
      <name val="Calibri"/>
      <family val="2"/>
      <charset val="163"/>
      <scheme val="minor"/>
    </font>
  </fonts>
  <fills count="3">
    <fill>
      <patternFill patternType="none"/>
    </fill>
    <fill>
      <patternFill patternType="gray125"/>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vertical="center"/>
    </xf>
    <xf numFmtId="0" fontId="3" fillId="0" borderId="0" xfId="0" applyFont="1"/>
    <xf numFmtId="0" fontId="2" fillId="2" borderId="1" xfId="0" applyFont="1" applyFill="1" applyBorder="1" applyAlignment="1">
      <alignment horizontal="center"/>
    </xf>
    <xf numFmtId="0" fontId="0" fillId="0" borderId="1" xfId="0" applyBorder="1"/>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vertical="center"/>
    </xf>
    <xf numFmtId="0" fontId="0" fillId="0" borderId="4" xfId="0" applyBorder="1" applyAlignment="1">
      <alignment vertical="center"/>
    </xf>
    <xf numFmtId="0" fontId="2" fillId="2" borderId="1" xfId="0" applyFont="1" applyFill="1" applyBorder="1" applyAlignment="1">
      <alignment horizontal="center" vertical="center"/>
    </xf>
    <xf numFmtId="0" fontId="0" fillId="0" borderId="0" xfId="0" applyAlignment="1">
      <alignment horizontal="left"/>
    </xf>
    <xf numFmtId="0" fontId="0" fillId="0" borderId="1" xfId="0" applyBorder="1" applyAlignment="1">
      <alignment horizontal="left" vertical="center"/>
    </xf>
    <xf numFmtId="0" fontId="0" fillId="0" borderId="1" xfId="0" applyBorder="1" applyAlignment="1">
      <alignment horizontal="left"/>
    </xf>
    <xf numFmtId="0" fontId="3" fillId="0" borderId="0" xfId="0" applyFont="1" applyAlignment="1">
      <alignment horizontal="center" vertical="center"/>
    </xf>
    <xf numFmtId="0" fontId="0" fillId="0" borderId="1" xfId="0" quotePrefix="1" applyBorder="1" applyAlignment="1">
      <alignment horizontal="left" vertical="center" wrapText="1"/>
    </xf>
    <xf numFmtId="0" fontId="0" fillId="0" borderId="1" xfId="0" quotePrefix="1" applyBorder="1" applyAlignment="1">
      <alignment horizontal="left" vertical="center"/>
    </xf>
    <xf numFmtId="0" fontId="0" fillId="0" borderId="0" xfId="0" applyBorder="1"/>
    <xf numFmtId="0" fontId="0" fillId="0" borderId="0" xfId="0" applyBorder="1" applyAlignment="1">
      <alignment horizontal="left"/>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wrapText="1"/>
    </xf>
    <xf numFmtId="0" fontId="3" fillId="0" borderId="1" xfId="0" applyFont="1" applyBorder="1" applyAlignment="1">
      <alignment horizontal="left"/>
    </xf>
    <xf numFmtId="0" fontId="3" fillId="0" borderId="1" xfId="0" applyFont="1" applyBorder="1"/>
    <xf numFmtId="0" fontId="0" fillId="0" borderId="1" xfId="0" applyBorder="1" applyAlignment="1">
      <alignment horizontal="left" wrapText="1"/>
    </xf>
    <xf numFmtId="0" fontId="0" fillId="0" borderId="1" xfId="0" applyFill="1" applyBorder="1" applyAlignment="1">
      <alignment vertical="center"/>
    </xf>
    <xf numFmtId="0" fontId="0" fillId="0" borderId="2" xfId="0" applyBorder="1" applyAlignment="1">
      <alignment vertical="center" wrapText="1"/>
    </xf>
    <xf numFmtId="0" fontId="0" fillId="0" borderId="3" xfId="0" applyBorder="1" applyAlignment="1">
      <alignment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
  <sheetViews>
    <sheetView tabSelected="1" topLeftCell="D1" zoomScale="83" workbookViewId="0">
      <selection activeCell="I9" sqref="I9"/>
    </sheetView>
  </sheetViews>
  <sheetFormatPr defaultRowHeight="14.4" x14ac:dyDescent="0.3"/>
  <cols>
    <col min="1" max="2" width="17.5546875" customWidth="1"/>
    <col min="3" max="3" width="45.109375" customWidth="1"/>
    <col min="4" max="4" width="44.33203125" style="17" customWidth="1"/>
    <col min="5" max="5" width="37" style="11" customWidth="1"/>
    <col min="6" max="6" width="33.33203125" style="11" customWidth="1"/>
    <col min="7" max="7" width="39.5546875" style="11" customWidth="1"/>
    <col min="8" max="8" width="43.44140625" style="11" customWidth="1"/>
    <col min="10" max="10" width="26" style="18" customWidth="1"/>
  </cols>
  <sheetData>
    <row r="1" spans="1:11" x14ac:dyDescent="0.3">
      <c r="A1" s="21"/>
      <c r="B1" s="8"/>
      <c r="C1" s="4"/>
      <c r="D1" s="4"/>
      <c r="E1" s="13"/>
      <c r="F1" s="13"/>
      <c r="G1" s="13"/>
      <c r="H1" s="13"/>
      <c r="I1" s="4"/>
      <c r="J1" s="13"/>
    </row>
    <row r="2" spans="1:11" s="2" customFormat="1" x14ac:dyDescent="0.3">
      <c r="A2" s="3" t="s">
        <v>0</v>
      </c>
      <c r="B2" s="3" t="s">
        <v>1</v>
      </c>
      <c r="C2" s="3" t="s">
        <v>2</v>
      </c>
      <c r="D2" s="3" t="s">
        <v>3</v>
      </c>
      <c r="E2" s="22"/>
      <c r="F2" s="22"/>
      <c r="G2" s="22"/>
      <c r="H2" s="22"/>
      <c r="I2" s="23"/>
      <c r="J2" s="22"/>
    </row>
    <row r="3" spans="1:11" x14ac:dyDescent="0.3">
      <c r="A3" s="4">
        <f>COUNTIF(I6:I21,"Pass")</f>
        <v>16</v>
      </c>
      <c r="B3" s="4">
        <f>COUNTIF(I6:I21,"Fail")</f>
        <v>0</v>
      </c>
      <c r="C3" s="4">
        <f>COUNTIF(I6:I21,"N/A")</f>
        <v>0</v>
      </c>
      <c r="D3" s="4">
        <f>COUNTA(B6:B21)</f>
        <v>16</v>
      </c>
      <c r="E3" s="13"/>
      <c r="F3" s="13"/>
      <c r="G3" s="13"/>
      <c r="H3" s="13"/>
      <c r="I3" s="4"/>
      <c r="J3" s="13"/>
    </row>
    <row r="4" spans="1:11" x14ac:dyDescent="0.3">
      <c r="A4" s="4"/>
      <c r="B4" s="4"/>
      <c r="C4" s="4"/>
      <c r="D4" s="4"/>
      <c r="E4" s="13"/>
      <c r="F4" s="13"/>
      <c r="G4" s="13"/>
      <c r="H4" s="13"/>
      <c r="I4" s="4"/>
      <c r="J4" s="13"/>
    </row>
    <row r="5" spans="1:11" s="14" customFormat="1" x14ac:dyDescent="0.3">
      <c r="A5" s="10" t="s">
        <v>4</v>
      </c>
      <c r="B5" s="10" t="s">
        <v>5</v>
      </c>
      <c r="C5" s="10" t="s">
        <v>6</v>
      </c>
      <c r="D5" s="10" t="s">
        <v>12</v>
      </c>
      <c r="E5" s="10" t="s">
        <v>7</v>
      </c>
      <c r="F5" s="10" t="s">
        <v>8</v>
      </c>
      <c r="G5" s="10" t="s">
        <v>9</v>
      </c>
      <c r="H5" s="10" t="s">
        <v>10</v>
      </c>
      <c r="I5" s="10" t="s">
        <v>11</v>
      </c>
      <c r="J5" s="10" t="s">
        <v>17</v>
      </c>
    </row>
    <row r="6" spans="1:11" ht="67.5" customHeight="1" x14ac:dyDescent="0.3">
      <c r="A6" s="28" t="s">
        <v>13</v>
      </c>
      <c r="B6" s="19" t="s">
        <v>14</v>
      </c>
      <c r="C6" s="20" t="s">
        <v>15</v>
      </c>
      <c r="D6" s="20" t="s">
        <v>163</v>
      </c>
      <c r="E6" s="7" t="s">
        <v>55</v>
      </c>
      <c r="F6" s="7" t="s">
        <v>255</v>
      </c>
      <c r="G6" s="7" t="s">
        <v>299</v>
      </c>
      <c r="H6" s="7" t="s">
        <v>164</v>
      </c>
      <c r="I6" s="20" t="s">
        <v>0</v>
      </c>
      <c r="J6" s="7" t="s">
        <v>18</v>
      </c>
    </row>
    <row r="7" spans="1:11" ht="118.5" customHeight="1" x14ac:dyDescent="0.3">
      <c r="A7" s="28"/>
      <c r="B7" s="19" t="s">
        <v>19</v>
      </c>
      <c r="C7" s="19" t="s">
        <v>20</v>
      </c>
      <c r="D7" s="20" t="s">
        <v>75</v>
      </c>
      <c r="E7" s="7" t="s">
        <v>54</v>
      </c>
      <c r="F7" s="7" t="s">
        <v>45</v>
      </c>
      <c r="G7" s="7" t="s">
        <v>165</v>
      </c>
      <c r="H7" s="7" t="s">
        <v>165</v>
      </c>
      <c r="I7" s="20" t="s">
        <v>0</v>
      </c>
      <c r="J7" s="7" t="s">
        <v>18</v>
      </c>
    </row>
    <row r="8" spans="1:11" ht="119.25" customHeight="1" x14ac:dyDescent="0.3">
      <c r="A8" s="28"/>
      <c r="B8" s="19" t="s">
        <v>23</v>
      </c>
      <c r="C8" s="19" t="s">
        <v>21</v>
      </c>
      <c r="D8" s="20" t="s">
        <v>76</v>
      </c>
      <c r="E8" s="7" t="s">
        <v>53</v>
      </c>
      <c r="F8" s="7" t="s">
        <v>22</v>
      </c>
      <c r="G8" s="7" t="s">
        <v>166</v>
      </c>
      <c r="H8" s="7" t="s">
        <v>166</v>
      </c>
      <c r="I8" s="20" t="s">
        <v>0</v>
      </c>
      <c r="J8" s="7" t="s">
        <v>18</v>
      </c>
    </row>
    <row r="9" spans="1:11" ht="144.9" customHeight="1" x14ac:dyDescent="0.3">
      <c r="A9" s="28"/>
      <c r="B9" s="19" t="s">
        <v>24</v>
      </c>
      <c r="C9" s="20" t="s">
        <v>167</v>
      </c>
      <c r="D9" s="20" t="s">
        <v>216</v>
      </c>
      <c r="E9" s="7" t="s">
        <v>218</v>
      </c>
      <c r="F9" s="7" t="s">
        <v>217</v>
      </c>
      <c r="G9" s="7" t="s">
        <v>219</v>
      </c>
      <c r="H9" s="7" t="s">
        <v>219</v>
      </c>
      <c r="I9" s="20" t="s">
        <v>0</v>
      </c>
      <c r="J9" s="7" t="s">
        <v>18</v>
      </c>
    </row>
    <row r="10" spans="1:11" ht="129.75" customHeight="1" x14ac:dyDescent="0.3">
      <c r="A10" s="28"/>
      <c r="B10" s="19" t="s">
        <v>25</v>
      </c>
      <c r="C10" s="19" t="s">
        <v>168</v>
      </c>
      <c r="D10" s="20" t="s">
        <v>77</v>
      </c>
      <c r="E10" s="7" t="s">
        <v>52</v>
      </c>
      <c r="F10" s="7" t="s">
        <v>28</v>
      </c>
      <c r="G10" s="7" t="s">
        <v>29</v>
      </c>
      <c r="H10" s="7" t="s">
        <v>29</v>
      </c>
      <c r="I10" s="20" t="s">
        <v>0</v>
      </c>
      <c r="J10" s="7" t="s">
        <v>151</v>
      </c>
    </row>
    <row r="11" spans="1:11" s="8" customFormat="1" ht="149.25" customHeight="1" x14ac:dyDescent="0.3">
      <c r="A11" s="28"/>
      <c r="B11" s="19" t="s">
        <v>26</v>
      </c>
      <c r="C11" s="20" t="s">
        <v>169</v>
      </c>
      <c r="D11" s="20" t="s">
        <v>170</v>
      </c>
      <c r="E11" s="7" t="s">
        <v>51</v>
      </c>
      <c r="F11" s="7" t="s">
        <v>171</v>
      </c>
      <c r="G11" s="7" t="s">
        <v>30</v>
      </c>
      <c r="H11" s="7" t="s">
        <v>30</v>
      </c>
      <c r="I11" s="20" t="s">
        <v>0</v>
      </c>
      <c r="J11" s="7" t="s">
        <v>31</v>
      </c>
      <c r="K11" s="9"/>
    </row>
    <row r="12" spans="1:11" ht="147" customHeight="1" x14ac:dyDescent="0.3">
      <c r="A12" s="28"/>
      <c r="B12" s="19" t="s">
        <v>27</v>
      </c>
      <c r="C12" s="20" t="s">
        <v>172</v>
      </c>
      <c r="D12" s="20" t="s">
        <v>78</v>
      </c>
      <c r="E12" s="7" t="s">
        <v>50</v>
      </c>
      <c r="F12" s="7" t="s">
        <v>32</v>
      </c>
      <c r="G12" s="7" t="s">
        <v>33</v>
      </c>
      <c r="H12" s="7" t="s">
        <v>33</v>
      </c>
      <c r="I12" s="20" t="s">
        <v>0</v>
      </c>
      <c r="J12" s="7" t="s">
        <v>31</v>
      </c>
    </row>
    <row r="13" spans="1:11" ht="84" customHeight="1" x14ac:dyDescent="0.3">
      <c r="A13" s="28"/>
      <c r="B13" s="19" t="s">
        <v>34</v>
      </c>
      <c r="C13" s="20" t="s">
        <v>35</v>
      </c>
      <c r="D13" s="20" t="s">
        <v>79</v>
      </c>
      <c r="E13" s="7" t="s">
        <v>44</v>
      </c>
      <c r="F13" s="7" t="s">
        <v>16</v>
      </c>
      <c r="G13" s="7" t="s">
        <v>36</v>
      </c>
      <c r="H13" s="7" t="s">
        <v>36</v>
      </c>
      <c r="I13" s="20" t="s">
        <v>0</v>
      </c>
      <c r="J13" s="7" t="s">
        <v>220</v>
      </c>
    </row>
    <row r="14" spans="1:11" ht="93.75" customHeight="1" x14ac:dyDescent="0.3">
      <c r="A14" s="28"/>
      <c r="B14" s="19" t="s">
        <v>37</v>
      </c>
      <c r="C14" s="20" t="s">
        <v>38</v>
      </c>
      <c r="D14" s="20" t="s">
        <v>80</v>
      </c>
      <c r="E14" s="7" t="s">
        <v>73</v>
      </c>
      <c r="F14" s="7" t="s">
        <v>39</v>
      </c>
      <c r="G14" s="7" t="s">
        <v>40</v>
      </c>
      <c r="H14" s="7" t="s">
        <v>40</v>
      </c>
      <c r="I14" s="20" t="s">
        <v>0</v>
      </c>
      <c r="J14" s="12" t="s">
        <v>58</v>
      </c>
    </row>
    <row r="15" spans="1:11" ht="107.25" customHeight="1" x14ac:dyDescent="0.3">
      <c r="A15" s="28"/>
      <c r="B15" s="19" t="s">
        <v>41</v>
      </c>
      <c r="C15" s="20" t="s">
        <v>46</v>
      </c>
      <c r="D15" s="20" t="s">
        <v>80</v>
      </c>
      <c r="E15" s="7" t="s">
        <v>74</v>
      </c>
      <c r="F15" s="7" t="s">
        <v>43</v>
      </c>
      <c r="G15" s="7" t="s">
        <v>42</v>
      </c>
      <c r="H15" s="7" t="s">
        <v>42</v>
      </c>
      <c r="I15" s="20" t="s">
        <v>0</v>
      </c>
      <c r="J15" s="12" t="s">
        <v>58</v>
      </c>
    </row>
    <row r="16" spans="1:11" ht="140.25" customHeight="1" x14ac:dyDescent="0.3">
      <c r="A16" s="28"/>
      <c r="B16" s="19" t="s">
        <v>47</v>
      </c>
      <c r="C16" s="20" t="s">
        <v>48</v>
      </c>
      <c r="D16" s="20" t="s">
        <v>81</v>
      </c>
      <c r="E16" s="7" t="s">
        <v>49</v>
      </c>
      <c r="F16" s="7" t="s">
        <v>56</v>
      </c>
      <c r="G16" s="7" t="s">
        <v>57</v>
      </c>
      <c r="H16" s="7" t="s">
        <v>57</v>
      </c>
      <c r="I16" s="20" t="s">
        <v>0</v>
      </c>
      <c r="J16" s="7" t="s">
        <v>59</v>
      </c>
    </row>
    <row r="17" spans="1:10" ht="143.4" customHeight="1" x14ac:dyDescent="0.3">
      <c r="A17" s="28"/>
      <c r="B17" s="19" t="s">
        <v>60</v>
      </c>
      <c r="C17" s="19" t="s">
        <v>61</v>
      </c>
      <c r="D17" s="20" t="s">
        <v>82</v>
      </c>
      <c r="E17" s="7" t="s">
        <v>64</v>
      </c>
      <c r="F17" s="7" t="s">
        <v>62</v>
      </c>
      <c r="G17" s="7" t="s">
        <v>57</v>
      </c>
      <c r="H17" s="7" t="s">
        <v>57</v>
      </c>
      <c r="I17" s="19" t="s">
        <v>0</v>
      </c>
      <c r="J17" s="7" t="s">
        <v>59</v>
      </c>
    </row>
    <row r="18" spans="1:10" ht="128.25" customHeight="1" x14ac:dyDescent="0.3">
      <c r="A18" s="28"/>
      <c r="B18" s="19" t="s">
        <v>63</v>
      </c>
      <c r="C18" s="19" t="s">
        <v>67</v>
      </c>
      <c r="D18" s="20" t="s">
        <v>83</v>
      </c>
      <c r="E18" s="7" t="s">
        <v>68</v>
      </c>
      <c r="F18" s="7" t="s">
        <v>69</v>
      </c>
      <c r="G18" s="7" t="s">
        <v>173</v>
      </c>
      <c r="H18" s="7" t="s">
        <v>173</v>
      </c>
      <c r="I18" s="19" t="s">
        <v>0</v>
      </c>
      <c r="J18" s="7" t="s">
        <v>65</v>
      </c>
    </row>
    <row r="19" spans="1:10" ht="129.75" customHeight="1" x14ac:dyDescent="0.3">
      <c r="A19" s="28"/>
      <c r="B19" s="19" t="s">
        <v>66</v>
      </c>
      <c r="C19" s="20" t="s">
        <v>70</v>
      </c>
      <c r="D19" s="20" t="s">
        <v>84</v>
      </c>
      <c r="E19" s="7" t="s">
        <v>71</v>
      </c>
      <c r="F19" s="7" t="s">
        <v>72</v>
      </c>
      <c r="G19" s="7" t="s">
        <v>174</v>
      </c>
      <c r="H19" s="7" t="s">
        <v>174</v>
      </c>
      <c r="I19" s="19" t="s">
        <v>0</v>
      </c>
      <c r="J19" s="7" t="s">
        <v>65</v>
      </c>
    </row>
    <row r="20" spans="1:10" ht="129.75" customHeight="1" x14ac:dyDescent="0.3">
      <c r="A20" s="19"/>
      <c r="B20" s="19" t="s">
        <v>298</v>
      </c>
      <c r="C20" s="20" t="s">
        <v>256</v>
      </c>
      <c r="D20" s="20" t="s">
        <v>257</v>
      </c>
      <c r="E20" s="7" t="s">
        <v>258</v>
      </c>
      <c r="F20" s="8" t="s">
        <v>259</v>
      </c>
      <c r="G20" s="7" t="s">
        <v>260</v>
      </c>
      <c r="H20" s="7" t="s">
        <v>260</v>
      </c>
      <c r="I20" s="19" t="s">
        <v>0</v>
      </c>
      <c r="J20" s="8" t="s">
        <v>261</v>
      </c>
    </row>
    <row r="21" spans="1:10" ht="165" customHeight="1" x14ac:dyDescent="0.3">
      <c r="A21" s="28" t="s">
        <v>140</v>
      </c>
      <c r="B21" s="19" t="s">
        <v>85</v>
      </c>
      <c r="C21" s="5" t="s">
        <v>86</v>
      </c>
      <c r="D21" s="5" t="s">
        <v>87</v>
      </c>
      <c r="E21" s="7" t="s">
        <v>88</v>
      </c>
      <c r="F21" s="7" t="s">
        <v>222</v>
      </c>
      <c r="G21" s="7" t="s">
        <v>89</v>
      </c>
      <c r="H21" s="7" t="s">
        <v>89</v>
      </c>
      <c r="I21" s="19" t="s">
        <v>0</v>
      </c>
      <c r="J21" s="7" t="s">
        <v>65</v>
      </c>
    </row>
    <row r="22" spans="1:10" ht="147.75" customHeight="1" x14ac:dyDescent="0.3">
      <c r="A22" s="28"/>
      <c r="B22" s="19" t="s">
        <v>90</v>
      </c>
      <c r="C22" s="19" t="s">
        <v>91</v>
      </c>
      <c r="D22" s="20" t="s">
        <v>175</v>
      </c>
      <c r="E22" s="7" t="s">
        <v>99</v>
      </c>
      <c r="F22" s="7" t="s">
        <v>94</v>
      </c>
      <c r="G22" s="12" t="s">
        <v>92</v>
      </c>
      <c r="H22" s="12" t="s">
        <v>92</v>
      </c>
      <c r="I22" s="19" t="s">
        <v>0</v>
      </c>
      <c r="J22" s="7" t="s">
        <v>93</v>
      </c>
    </row>
    <row r="23" spans="1:10" ht="140.25" customHeight="1" x14ac:dyDescent="0.3">
      <c r="A23" s="28"/>
      <c r="B23" s="19" t="s">
        <v>95</v>
      </c>
      <c r="C23" s="19" t="s">
        <v>96</v>
      </c>
      <c r="D23" s="20" t="s">
        <v>175</v>
      </c>
      <c r="E23" s="24" t="s">
        <v>98</v>
      </c>
      <c r="F23" s="7" t="s">
        <v>221</v>
      </c>
      <c r="G23" s="12" t="s">
        <v>97</v>
      </c>
      <c r="H23" s="12" t="s">
        <v>97</v>
      </c>
      <c r="I23" s="19" t="s">
        <v>0</v>
      </c>
      <c r="J23" s="7" t="s">
        <v>93</v>
      </c>
    </row>
    <row r="24" spans="1:10" ht="154.5" customHeight="1" x14ac:dyDescent="0.3">
      <c r="A24" s="28"/>
      <c r="B24" s="19" t="s">
        <v>100</v>
      </c>
      <c r="C24" s="19" t="s">
        <v>101</v>
      </c>
      <c r="D24" s="20" t="s">
        <v>176</v>
      </c>
      <c r="E24" s="7" t="s">
        <v>88</v>
      </c>
      <c r="F24" s="7" t="s">
        <v>223</v>
      </c>
      <c r="G24" s="7" t="s">
        <v>177</v>
      </c>
      <c r="H24" s="7" t="s">
        <v>177</v>
      </c>
      <c r="I24" s="19" t="s">
        <v>0</v>
      </c>
      <c r="J24" s="7" t="s">
        <v>102</v>
      </c>
    </row>
    <row r="25" spans="1:10" ht="154.5" customHeight="1" x14ac:dyDescent="0.3">
      <c r="A25" s="28"/>
      <c r="B25" s="19" t="s">
        <v>103</v>
      </c>
      <c r="C25" s="8" t="s">
        <v>104</v>
      </c>
      <c r="D25" s="5" t="s">
        <v>178</v>
      </c>
      <c r="E25" s="7" t="s">
        <v>230</v>
      </c>
      <c r="F25" s="7" t="s">
        <v>105</v>
      </c>
      <c r="G25" s="7" t="s">
        <v>179</v>
      </c>
      <c r="H25" s="7" t="s">
        <v>179</v>
      </c>
      <c r="I25" s="19" t="s">
        <v>0</v>
      </c>
      <c r="J25" s="7" t="s">
        <v>102</v>
      </c>
    </row>
    <row r="26" spans="1:10" ht="43.2" x14ac:dyDescent="0.3">
      <c r="A26" s="28"/>
      <c r="B26" s="19" t="s">
        <v>106</v>
      </c>
      <c r="C26" s="8" t="s">
        <v>107</v>
      </c>
      <c r="D26" s="8" t="s">
        <v>108</v>
      </c>
      <c r="E26" s="7" t="s">
        <v>109</v>
      </c>
      <c r="F26" s="13"/>
      <c r="G26" s="7" t="s">
        <v>180</v>
      </c>
      <c r="H26" s="7" t="s">
        <v>180</v>
      </c>
      <c r="I26" s="19" t="s">
        <v>0</v>
      </c>
      <c r="J26" s="7" t="s">
        <v>59</v>
      </c>
    </row>
    <row r="27" spans="1:10" s="1" customFormat="1" ht="233.1" customHeight="1" x14ac:dyDescent="0.3">
      <c r="A27" s="28"/>
      <c r="B27" s="19" t="s">
        <v>110</v>
      </c>
      <c r="C27" s="5" t="s">
        <v>113</v>
      </c>
      <c r="D27" s="5" t="s">
        <v>231</v>
      </c>
      <c r="E27" s="7" t="s">
        <v>111</v>
      </c>
      <c r="F27" s="7" t="s">
        <v>116</v>
      </c>
      <c r="G27" s="7" t="s">
        <v>181</v>
      </c>
      <c r="H27" s="7" t="s">
        <v>181</v>
      </c>
      <c r="I27" s="19" t="s">
        <v>0</v>
      </c>
      <c r="J27" s="7" t="s">
        <v>130</v>
      </c>
    </row>
    <row r="28" spans="1:10" ht="165" customHeight="1" x14ac:dyDescent="0.3">
      <c r="A28" s="28"/>
      <c r="B28" s="19" t="s">
        <v>112</v>
      </c>
      <c r="C28" s="5" t="s">
        <v>114</v>
      </c>
      <c r="D28" s="5" t="s">
        <v>232</v>
      </c>
      <c r="E28" s="7" t="s">
        <v>115</v>
      </c>
      <c r="F28" s="7" t="s">
        <v>224</v>
      </c>
      <c r="G28" s="7" t="s">
        <v>252</v>
      </c>
      <c r="H28" s="7" t="s">
        <v>252</v>
      </c>
      <c r="I28" s="19" t="s">
        <v>0</v>
      </c>
      <c r="J28" s="7" t="s">
        <v>130</v>
      </c>
    </row>
    <row r="29" spans="1:10" ht="78" customHeight="1" x14ac:dyDescent="0.3">
      <c r="A29" s="28"/>
      <c r="B29" s="19" t="s">
        <v>117</v>
      </c>
      <c r="C29" s="5" t="s">
        <v>182</v>
      </c>
      <c r="D29" s="5" t="s">
        <v>118</v>
      </c>
      <c r="E29" s="7" t="s">
        <v>119</v>
      </c>
      <c r="F29" s="12" t="s">
        <v>120</v>
      </c>
      <c r="G29" s="7" t="s">
        <v>183</v>
      </c>
      <c r="H29" s="7" t="s">
        <v>183</v>
      </c>
      <c r="I29" s="19" t="s">
        <v>0</v>
      </c>
      <c r="J29" s="7" t="s">
        <v>220</v>
      </c>
    </row>
    <row r="30" spans="1:10" ht="80.25" customHeight="1" x14ac:dyDescent="0.3">
      <c r="A30" s="28"/>
      <c r="B30" s="19" t="s">
        <v>121</v>
      </c>
      <c r="C30" s="8" t="s">
        <v>122</v>
      </c>
      <c r="D30" s="5" t="s">
        <v>123</v>
      </c>
      <c r="E30" s="7" t="s">
        <v>124</v>
      </c>
      <c r="F30" s="7" t="s">
        <v>125</v>
      </c>
      <c r="G30" s="12" t="s">
        <v>126</v>
      </c>
      <c r="H30" s="12" t="s">
        <v>126</v>
      </c>
      <c r="I30" s="19" t="s">
        <v>0</v>
      </c>
      <c r="J30" s="7" t="s">
        <v>220</v>
      </c>
    </row>
    <row r="31" spans="1:10" ht="189.75" customHeight="1" x14ac:dyDescent="0.3">
      <c r="A31" s="28"/>
      <c r="B31" s="19" t="s">
        <v>127</v>
      </c>
      <c r="C31" s="5" t="s">
        <v>184</v>
      </c>
      <c r="D31" s="5" t="s">
        <v>175</v>
      </c>
      <c r="E31" s="7" t="s">
        <v>128</v>
      </c>
      <c r="F31" s="7" t="s">
        <v>185</v>
      </c>
      <c r="G31" s="12" t="s">
        <v>129</v>
      </c>
      <c r="H31" s="12" t="s">
        <v>129</v>
      </c>
      <c r="I31" s="19" t="s">
        <v>0</v>
      </c>
      <c r="J31" s="7" t="s">
        <v>130</v>
      </c>
    </row>
    <row r="32" spans="1:10" ht="174.75" customHeight="1" x14ac:dyDescent="0.3">
      <c r="A32" s="28"/>
      <c r="B32" s="19" t="s">
        <v>131</v>
      </c>
      <c r="C32" s="8" t="s">
        <v>132</v>
      </c>
      <c r="D32" s="5" t="s">
        <v>175</v>
      </c>
      <c r="E32" s="7" t="s">
        <v>133</v>
      </c>
      <c r="F32" s="7" t="s">
        <v>134</v>
      </c>
      <c r="G32" s="12" t="s">
        <v>135</v>
      </c>
      <c r="H32" s="12" t="s">
        <v>135</v>
      </c>
      <c r="I32" s="19" t="s">
        <v>0</v>
      </c>
      <c r="J32" s="7" t="s">
        <v>139</v>
      </c>
    </row>
    <row r="33" spans="1:10" ht="171" customHeight="1" x14ac:dyDescent="0.3">
      <c r="A33" s="28"/>
      <c r="B33" s="19" t="s">
        <v>136</v>
      </c>
      <c r="C33" s="5" t="s">
        <v>186</v>
      </c>
      <c r="D33" s="5" t="s">
        <v>187</v>
      </c>
      <c r="E33" s="7" t="s">
        <v>137</v>
      </c>
      <c r="F33" s="7" t="s">
        <v>138</v>
      </c>
      <c r="G33" s="7" t="s">
        <v>188</v>
      </c>
      <c r="H33" s="7" t="s">
        <v>188</v>
      </c>
      <c r="I33" s="19" t="s">
        <v>0</v>
      </c>
      <c r="J33" s="7" t="s">
        <v>229</v>
      </c>
    </row>
    <row r="34" spans="1:10" ht="144.6" customHeight="1" x14ac:dyDescent="0.3">
      <c r="A34" s="19"/>
      <c r="B34" s="19" t="s">
        <v>247</v>
      </c>
      <c r="C34" s="5" t="s">
        <v>248</v>
      </c>
      <c r="D34" s="5" t="s">
        <v>250</v>
      </c>
      <c r="E34" s="7" t="s">
        <v>251</v>
      </c>
      <c r="F34" s="7" t="s">
        <v>249</v>
      </c>
      <c r="G34" s="7" t="s">
        <v>252</v>
      </c>
      <c r="H34" s="7" t="s">
        <v>252</v>
      </c>
      <c r="I34" s="19" t="s">
        <v>0</v>
      </c>
      <c r="J34" s="7" t="s">
        <v>253</v>
      </c>
    </row>
    <row r="35" spans="1:10" ht="139.80000000000001" customHeight="1" x14ac:dyDescent="0.3">
      <c r="A35" s="19"/>
      <c r="B35" s="19" t="s">
        <v>297</v>
      </c>
      <c r="C35" s="5" t="s">
        <v>262</v>
      </c>
      <c r="D35" s="5" t="s">
        <v>263</v>
      </c>
      <c r="E35" s="7" t="s">
        <v>264</v>
      </c>
      <c r="F35" s="5" t="s">
        <v>265</v>
      </c>
      <c r="G35" s="5" t="s">
        <v>266</v>
      </c>
      <c r="H35" s="5" t="s">
        <v>266</v>
      </c>
      <c r="I35" s="19" t="s">
        <v>0</v>
      </c>
      <c r="J35" s="8" t="s">
        <v>261</v>
      </c>
    </row>
    <row r="36" spans="1:10" ht="139.80000000000001" customHeight="1" x14ac:dyDescent="0.3">
      <c r="A36" s="19"/>
      <c r="B36" s="19" t="s">
        <v>296</v>
      </c>
      <c r="C36" s="7" t="s">
        <v>267</v>
      </c>
      <c r="D36" s="5" t="s">
        <v>263</v>
      </c>
      <c r="E36" s="7" t="s">
        <v>264</v>
      </c>
      <c r="F36" s="5" t="s">
        <v>265</v>
      </c>
      <c r="G36" s="5" t="s">
        <v>268</v>
      </c>
      <c r="H36" s="5" t="s">
        <v>268</v>
      </c>
      <c r="I36" s="19" t="s">
        <v>0</v>
      </c>
      <c r="J36" s="8" t="s">
        <v>261</v>
      </c>
    </row>
    <row r="37" spans="1:10" s="1" customFormat="1" ht="127.5" customHeight="1" x14ac:dyDescent="0.3">
      <c r="A37" s="5" t="s">
        <v>246</v>
      </c>
      <c r="B37" s="8" t="s">
        <v>141</v>
      </c>
      <c r="C37" s="5" t="s">
        <v>189</v>
      </c>
      <c r="D37" s="5" t="s">
        <v>190</v>
      </c>
      <c r="E37" s="7" t="s">
        <v>142</v>
      </c>
      <c r="F37" s="7" t="s">
        <v>225</v>
      </c>
      <c r="G37" s="7" t="s">
        <v>143</v>
      </c>
      <c r="H37" s="7" t="s">
        <v>143</v>
      </c>
      <c r="I37" s="19" t="s">
        <v>0</v>
      </c>
      <c r="J37" s="7" t="s">
        <v>59</v>
      </c>
    </row>
    <row r="38" spans="1:10" s="1" customFormat="1" ht="120" customHeight="1" x14ac:dyDescent="0.3">
      <c r="A38" s="26"/>
      <c r="B38" s="8" t="s">
        <v>144</v>
      </c>
      <c r="C38" s="5" t="s">
        <v>191</v>
      </c>
      <c r="D38" s="5" t="s">
        <v>192</v>
      </c>
      <c r="E38" s="7" t="s">
        <v>145</v>
      </c>
      <c r="F38" s="7" t="s">
        <v>226</v>
      </c>
      <c r="G38" s="15" t="s">
        <v>193</v>
      </c>
      <c r="H38" s="15" t="s">
        <v>193</v>
      </c>
      <c r="I38" s="19" t="s">
        <v>0</v>
      </c>
      <c r="J38" s="7" t="s">
        <v>233</v>
      </c>
    </row>
    <row r="39" spans="1:10" s="1" customFormat="1" ht="129" customHeight="1" x14ac:dyDescent="0.3">
      <c r="A39" s="26"/>
      <c r="B39" s="8" t="s">
        <v>146</v>
      </c>
      <c r="C39" s="5" t="s">
        <v>214</v>
      </c>
      <c r="D39" s="5" t="s">
        <v>192</v>
      </c>
      <c r="E39" s="7" t="s">
        <v>234</v>
      </c>
      <c r="F39" s="7" t="s">
        <v>227</v>
      </c>
      <c r="G39" s="12" t="s">
        <v>203</v>
      </c>
      <c r="H39" s="12" t="s">
        <v>194</v>
      </c>
      <c r="I39" s="19" t="s">
        <v>0</v>
      </c>
      <c r="J39" s="7" t="s">
        <v>161</v>
      </c>
    </row>
    <row r="40" spans="1:10" s="1" customFormat="1" ht="144.75" customHeight="1" x14ac:dyDescent="0.3">
      <c r="A40" s="26"/>
      <c r="B40" s="8" t="s">
        <v>157</v>
      </c>
      <c r="C40" s="5" t="s">
        <v>195</v>
      </c>
      <c r="D40" s="5" t="s">
        <v>192</v>
      </c>
      <c r="E40" s="7" t="s">
        <v>145</v>
      </c>
      <c r="F40" s="7" t="s">
        <v>228</v>
      </c>
      <c r="G40" s="7" t="s">
        <v>204</v>
      </c>
      <c r="H40" s="7" t="s">
        <v>196</v>
      </c>
      <c r="I40" s="19" t="s">
        <v>0</v>
      </c>
      <c r="J40" s="7" t="s">
        <v>159</v>
      </c>
    </row>
    <row r="41" spans="1:10" s="1" customFormat="1" ht="144" x14ac:dyDescent="0.3">
      <c r="A41" s="26"/>
      <c r="B41" s="8" t="s">
        <v>147</v>
      </c>
      <c r="C41" s="5" t="s">
        <v>197</v>
      </c>
      <c r="D41" s="5" t="s">
        <v>198</v>
      </c>
      <c r="E41" s="7" t="s">
        <v>199</v>
      </c>
      <c r="F41" s="7" t="s">
        <v>208</v>
      </c>
      <c r="G41" s="7" t="s">
        <v>206</v>
      </c>
      <c r="H41" s="7" t="s">
        <v>206</v>
      </c>
      <c r="I41" s="19" t="s">
        <v>0</v>
      </c>
      <c r="J41" s="7" t="s">
        <v>235</v>
      </c>
    </row>
    <row r="42" spans="1:10" s="1" customFormat="1" ht="177" customHeight="1" x14ac:dyDescent="0.3">
      <c r="A42" s="26"/>
      <c r="B42" s="8" t="s">
        <v>148</v>
      </c>
      <c r="C42" s="8" t="s">
        <v>149</v>
      </c>
      <c r="D42" s="5" t="s">
        <v>192</v>
      </c>
      <c r="E42" s="7" t="s">
        <v>150</v>
      </c>
      <c r="F42" s="7" t="s">
        <v>200</v>
      </c>
      <c r="G42" s="16" t="s">
        <v>205</v>
      </c>
      <c r="H42" s="16" t="s">
        <v>205</v>
      </c>
      <c r="I42" s="19" t="s">
        <v>0</v>
      </c>
      <c r="J42" s="7" t="s">
        <v>160</v>
      </c>
    </row>
    <row r="43" spans="1:10" s="1" customFormat="1" ht="150" customHeight="1" x14ac:dyDescent="0.3">
      <c r="A43" s="26"/>
      <c r="B43" s="8" t="s">
        <v>152</v>
      </c>
      <c r="C43" s="5" t="s">
        <v>202</v>
      </c>
      <c r="D43" s="5" t="s">
        <v>192</v>
      </c>
      <c r="E43" s="7" t="s">
        <v>201</v>
      </c>
      <c r="F43" s="7" t="s">
        <v>237</v>
      </c>
      <c r="G43" s="7" t="s">
        <v>207</v>
      </c>
      <c r="H43" s="7" t="s">
        <v>207</v>
      </c>
      <c r="I43" s="19" t="s">
        <v>0</v>
      </c>
      <c r="J43" s="7" t="s">
        <v>139</v>
      </c>
    </row>
    <row r="44" spans="1:10" s="1" customFormat="1" ht="177" customHeight="1" x14ac:dyDescent="0.3">
      <c r="A44" s="26"/>
      <c r="B44" s="8" t="s">
        <v>153</v>
      </c>
      <c r="C44" s="5" t="s">
        <v>209</v>
      </c>
      <c r="D44" s="5" t="s">
        <v>192</v>
      </c>
      <c r="E44" s="7" t="s">
        <v>210</v>
      </c>
      <c r="F44" s="7" t="s">
        <v>211</v>
      </c>
      <c r="G44" s="7" t="s">
        <v>212</v>
      </c>
      <c r="H44" s="7" t="s">
        <v>212</v>
      </c>
      <c r="I44" s="19" t="s">
        <v>0</v>
      </c>
      <c r="J44" s="7" t="s">
        <v>162</v>
      </c>
    </row>
    <row r="45" spans="1:10" s="1" customFormat="1" ht="252.75" customHeight="1" x14ac:dyDescent="0.3">
      <c r="A45" s="26"/>
      <c r="B45" s="8" t="s">
        <v>154</v>
      </c>
      <c r="C45" s="8" t="s">
        <v>156</v>
      </c>
      <c r="D45" s="5" t="s">
        <v>192</v>
      </c>
      <c r="E45" s="7" t="s">
        <v>240</v>
      </c>
      <c r="F45" s="7" t="s">
        <v>215</v>
      </c>
      <c r="G45" s="7" t="s">
        <v>213</v>
      </c>
      <c r="H45" s="7" t="s">
        <v>213</v>
      </c>
      <c r="I45" s="19" t="s">
        <v>0</v>
      </c>
      <c r="J45" s="7" t="s">
        <v>162</v>
      </c>
    </row>
    <row r="46" spans="1:10" ht="133.80000000000001" customHeight="1" x14ac:dyDescent="0.3">
      <c r="A46" s="26"/>
      <c r="B46" s="8" t="s">
        <v>155</v>
      </c>
      <c r="C46" s="8" t="s">
        <v>238</v>
      </c>
      <c r="D46" s="5" t="s">
        <v>192</v>
      </c>
      <c r="E46" s="7" t="s">
        <v>240</v>
      </c>
      <c r="F46" s="7" t="s">
        <v>236</v>
      </c>
      <c r="G46" s="7" t="s">
        <v>207</v>
      </c>
      <c r="H46" s="7" t="s">
        <v>207</v>
      </c>
      <c r="I46" s="19" t="s">
        <v>0</v>
      </c>
      <c r="J46" s="7" t="s">
        <v>139</v>
      </c>
    </row>
    <row r="47" spans="1:10" ht="129.6" x14ac:dyDescent="0.3">
      <c r="A47" s="26"/>
      <c r="B47" s="8" t="s">
        <v>158</v>
      </c>
      <c r="C47" s="8" t="s">
        <v>239</v>
      </c>
      <c r="D47" s="5" t="s">
        <v>192</v>
      </c>
      <c r="E47" s="7" t="s">
        <v>240</v>
      </c>
      <c r="F47" s="7" t="s">
        <v>241</v>
      </c>
      <c r="G47" s="7" t="s">
        <v>207</v>
      </c>
      <c r="H47" s="7" t="s">
        <v>207</v>
      </c>
      <c r="I47" s="19" t="s">
        <v>0</v>
      </c>
      <c r="J47" s="7" t="s">
        <v>139</v>
      </c>
    </row>
    <row r="48" spans="1:10" ht="86.4" x14ac:dyDescent="0.3">
      <c r="A48" s="26"/>
      <c r="B48" s="5" t="s">
        <v>254</v>
      </c>
      <c r="C48" s="25" t="s">
        <v>243</v>
      </c>
      <c r="D48" s="5" t="s">
        <v>192</v>
      </c>
      <c r="E48" s="7" t="s">
        <v>242</v>
      </c>
      <c r="F48" s="7" t="s">
        <v>244</v>
      </c>
      <c r="G48" s="7" t="s">
        <v>245</v>
      </c>
      <c r="H48" s="7" t="s">
        <v>245</v>
      </c>
      <c r="I48" s="19" t="s">
        <v>0</v>
      </c>
      <c r="J48" s="12" t="s">
        <v>233</v>
      </c>
    </row>
    <row r="49" spans="1:10" ht="72" x14ac:dyDescent="0.3">
      <c r="A49" s="26"/>
      <c r="B49" s="4" t="s">
        <v>274</v>
      </c>
      <c r="C49" s="5" t="s">
        <v>270</v>
      </c>
      <c r="D49" s="5" t="s">
        <v>271</v>
      </c>
      <c r="E49" s="6" t="s">
        <v>272</v>
      </c>
      <c r="F49" s="5" t="s">
        <v>276</v>
      </c>
      <c r="G49" s="5" t="s">
        <v>273</v>
      </c>
      <c r="H49" s="5" t="s">
        <v>273</v>
      </c>
      <c r="I49" s="19" t="s">
        <v>0</v>
      </c>
      <c r="J49" s="8" t="s">
        <v>261</v>
      </c>
    </row>
    <row r="50" spans="1:10" ht="72" x14ac:dyDescent="0.3">
      <c r="A50" s="26"/>
      <c r="B50" s="4" t="s">
        <v>269</v>
      </c>
      <c r="C50" s="5" t="s">
        <v>275</v>
      </c>
      <c r="D50" s="5" t="s">
        <v>271</v>
      </c>
      <c r="E50" s="6" t="s">
        <v>272</v>
      </c>
      <c r="F50" s="5" t="s">
        <v>277</v>
      </c>
      <c r="G50" s="5" t="s">
        <v>278</v>
      </c>
      <c r="H50" s="5" t="s">
        <v>278</v>
      </c>
      <c r="I50" s="19" t="s">
        <v>0</v>
      </c>
      <c r="J50" s="8" t="s">
        <v>261</v>
      </c>
    </row>
    <row r="51" spans="1:10" ht="86.4" x14ac:dyDescent="0.3">
      <c r="A51" s="26"/>
      <c r="B51" s="4" t="s">
        <v>279</v>
      </c>
      <c r="C51" s="5" t="s">
        <v>283</v>
      </c>
      <c r="D51" s="5" t="s">
        <v>284</v>
      </c>
      <c r="E51" s="6" t="s">
        <v>285</v>
      </c>
      <c r="F51" s="5" t="s">
        <v>286</v>
      </c>
      <c r="G51" s="5" t="s">
        <v>287</v>
      </c>
      <c r="H51" s="5" t="s">
        <v>287</v>
      </c>
      <c r="I51" s="19" t="s">
        <v>0</v>
      </c>
      <c r="J51" s="8" t="s">
        <v>261</v>
      </c>
    </row>
    <row r="52" spans="1:10" ht="86.4" x14ac:dyDescent="0.3">
      <c r="A52" s="26"/>
      <c r="B52" s="4" t="s">
        <v>280</v>
      </c>
      <c r="C52" s="5" t="s">
        <v>288</v>
      </c>
      <c r="D52" s="5" t="s">
        <v>284</v>
      </c>
      <c r="E52" s="6" t="s">
        <v>285</v>
      </c>
      <c r="F52" s="5" t="s">
        <v>286</v>
      </c>
      <c r="G52" s="5" t="s">
        <v>289</v>
      </c>
      <c r="H52" s="5" t="s">
        <v>289</v>
      </c>
      <c r="I52" s="19" t="s">
        <v>0</v>
      </c>
      <c r="J52" s="8" t="s">
        <v>261</v>
      </c>
    </row>
    <row r="53" spans="1:10" ht="115.2" x14ac:dyDescent="0.3">
      <c r="A53" s="26"/>
      <c r="B53" s="4" t="s">
        <v>281</v>
      </c>
      <c r="C53" s="6" t="s">
        <v>290</v>
      </c>
      <c r="D53" s="6" t="s">
        <v>291</v>
      </c>
      <c r="E53" s="6" t="s">
        <v>292</v>
      </c>
      <c r="F53" s="6" t="s">
        <v>293</v>
      </c>
      <c r="G53" s="5" t="s">
        <v>294</v>
      </c>
      <c r="H53" s="5" t="s">
        <v>294</v>
      </c>
      <c r="I53" s="19" t="s">
        <v>0</v>
      </c>
      <c r="J53" s="8" t="s">
        <v>261</v>
      </c>
    </row>
    <row r="54" spans="1:10" ht="115.2" x14ac:dyDescent="0.3">
      <c r="A54" s="27"/>
      <c r="B54" s="4" t="s">
        <v>282</v>
      </c>
      <c r="C54" s="6" t="s">
        <v>290</v>
      </c>
      <c r="D54" s="6" t="s">
        <v>291</v>
      </c>
      <c r="E54" s="6" t="s">
        <v>292</v>
      </c>
      <c r="F54" s="6" t="s">
        <v>293</v>
      </c>
      <c r="G54" s="5" t="s">
        <v>295</v>
      </c>
      <c r="H54" s="5" t="s">
        <v>295</v>
      </c>
      <c r="I54" s="19" t="s">
        <v>0</v>
      </c>
      <c r="J54" s="8" t="s">
        <v>261</v>
      </c>
    </row>
  </sheetData>
  <mergeCells count="2">
    <mergeCell ref="A6:A19"/>
    <mergeCell ref="A21:A33"/>
  </mergeCells>
  <phoneticPr fontId="1" type="noConversion"/>
  <dataValidations count="2">
    <dataValidation type="list" allowBlank="1" showInputMessage="1" showErrorMessage="1" sqref="I6:I16" xr:uid="{00000000-0002-0000-0200-000000000000}">
      <formula1>"Pass,Fail, Untested, N/A, "</formula1>
    </dataValidation>
    <dataValidation type="list" allowBlank="1" showInputMessage="1" showErrorMessage="1" sqref="I17:I54" xr:uid="{00000000-0002-0000-0200-000001000000}">
      <formula1>"Pass, Fail, Untested, N/A"</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 Login &amp; Logout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n21dccn047@student.ptithcm.edu.vn</dc:creator>
  <cp:lastModifiedBy>n21dccn047@student.ptithcm.edu.vn</cp:lastModifiedBy>
  <dcterms:created xsi:type="dcterms:W3CDTF">2025-05-04T08:51:25Z</dcterms:created>
  <dcterms:modified xsi:type="dcterms:W3CDTF">2026-06-25T07:48:17Z</dcterms:modified>
</cp:coreProperties>
</file>